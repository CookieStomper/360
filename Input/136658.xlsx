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GNSS_egenregi\Fält\Stocksbo\"/>
    </mc:Choice>
  </mc:AlternateContent>
  <xr:revisionPtr revIDLastSave="0" documentId="13_ncr:1_{55B4A9E1-DC45-44CC-866C-D66D24F50F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D37" i="1" l="1"/>
  <c r="F34" i="1" s="1"/>
  <c r="D20" i="1"/>
  <c r="F17" i="1" s="1"/>
  <c r="F15" i="1"/>
  <c r="F16" i="1" s="1"/>
  <c r="F32" i="1"/>
  <c r="F31" i="1" l="1"/>
  <c r="F37" i="1" s="1"/>
  <c r="F20" i="1" l="1"/>
  <c r="F33" i="1"/>
</calcChain>
</file>

<file path=xl/sharedStrings.xml><?xml version="1.0" encoding="utf-8"?>
<sst xmlns="http://schemas.openxmlformats.org/spreadsheetml/2006/main" count="110" uniqueCount="57">
  <si>
    <t>Markeringstyp</t>
  </si>
  <si>
    <t>Punktnamn</t>
  </si>
  <si>
    <t>Punktnummer</t>
  </si>
  <si>
    <t>4-id</t>
  </si>
  <si>
    <t>Operatör</t>
  </si>
  <si>
    <t>Datum start</t>
  </si>
  <si>
    <t>Dag nr start</t>
  </si>
  <si>
    <t>Datum stopp</t>
  </si>
  <si>
    <t>Starttid</t>
  </si>
  <si>
    <t>Stopptid</t>
  </si>
  <si>
    <t>Mottagartyp</t>
  </si>
  <si>
    <t>Antenntyp</t>
  </si>
  <si>
    <t>Adapter</t>
  </si>
  <si>
    <t>Adapter nr</t>
  </si>
  <si>
    <t>Projekt/Område</t>
  </si>
  <si>
    <t>Session 1</t>
  </si>
  <si>
    <t>Centreringsutr. Nr.</t>
  </si>
  <si>
    <t>Trefot nr.</t>
  </si>
  <si>
    <t>Antennhöjd kontrollerad efter</t>
  </si>
  <si>
    <t>Horisontering kontrollerad efter</t>
  </si>
  <si>
    <t>Session 2</t>
  </si>
  <si>
    <t>Septentrio PolarX5</t>
  </si>
  <si>
    <t>Javringant DM</t>
  </si>
  <si>
    <t>ARP (A+E) (m)</t>
  </si>
  <si>
    <t>Lutande till jordplan</t>
  </si>
  <si>
    <t xml:space="preserve">Diff (m) </t>
  </si>
  <si>
    <t>Antennhöjdsmätning Session 1</t>
  </si>
  <si>
    <t>Antennhöjdsmätning Session 2</t>
  </si>
  <si>
    <t>ROT(B*B-D*D) - C (m)</t>
  </si>
  <si>
    <t xml:space="preserve">    Mätprotokoll GNSS-mätning: Försäkringspunkter</t>
  </si>
  <si>
    <r>
      <rPr>
        <b/>
        <sz val="10"/>
        <color theme="1"/>
        <rFont val="Gill Sans MT"/>
        <family val="2"/>
      </rPr>
      <t>Lantmäteriet</t>
    </r>
    <r>
      <rPr>
        <sz val="10"/>
        <color theme="1"/>
        <rFont val="Gill Sans MT"/>
        <family val="2"/>
      </rPr>
      <t>, TELEFON 0771-63 63 63 E-POST lantmateriet@lm.se WEBBPLATS www.lantmateriet.se</t>
    </r>
  </si>
  <si>
    <t>Height hook, grön (m)</t>
  </si>
  <si>
    <t>Height meter, svart (m)</t>
  </si>
  <si>
    <t>ARP (G+F) (m)</t>
  </si>
  <si>
    <t>GRT144+GAD31</t>
  </si>
  <si>
    <t xml:space="preserve">Anteckningar 
</t>
  </si>
  <si>
    <t xml:space="preserve">A = vertikal höjd (avläsning)
B = lutande höjd underkant jordplan (avläsning)
C = ref.höjd över ARP
D = antennens radie
E = 0.36, korrektion Height hook
F = -0.0502, korrektion Height meter
G = lutande höjd (avläsning)
</t>
  </si>
  <si>
    <t>För JAVRINGANT_DM:
C = 0.0345
D = 0.1900</t>
  </si>
  <si>
    <t>Mottagare serienummer</t>
  </si>
  <si>
    <t>Antenn serienummer</t>
  </si>
  <si>
    <t>LM</t>
  </si>
  <si>
    <t>A:</t>
  </si>
  <si>
    <t>G:</t>
  </si>
  <si>
    <t>B_1</t>
  </si>
  <si>
    <t>B_2</t>
  </si>
  <si>
    <t>B_3</t>
  </si>
  <si>
    <t>B_medel</t>
  </si>
  <si>
    <t>Adapter nr.</t>
  </si>
  <si>
    <t>JP</t>
  </si>
  <si>
    <t>A0080022</t>
  </si>
  <si>
    <t>Rec5</t>
  </si>
  <si>
    <t>Filnamn: REC5008</t>
  </si>
  <si>
    <t>Filnamn: REC5009</t>
  </si>
  <si>
    <t>ja</t>
  </si>
  <si>
    <t>LM2</t>
  </si>
  <si>
    <t>Ståldubb i sten</t>
  </si>
  <si>
    <t>S om Mårts-Erks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</si>
</sst>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scheme val="minor"/>
    </font>
    <font>
      <sz val="8"/>
      <color theme="1"/>
      <name val="Gill Sans MT"/>
      <family val="2"/>
    </font>
    <font>
      <sz val="8"/>
      <color rgb="FF000000"/>
      <name val="Gill Sans MT"/>
      <family val="2"/>
    </font>
    <font>
      <sz val="11"/>
      <color theme="1"/>
      <name val="Gill Sans MT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Gill Sans MT"/>
      <family val="2"/>
    </font>
    <font>
      <sz val="8"/>
      <color theme="1"/>
      <name val="Gill Sans MT"/>
      <family val="2"/>
    </font>
    <font>
      <b/>
      <sz val="11"/>
      <color theme="1"/>
      <name val="Gill Sans MT"/>
      <family val="2"/>
    </font>
    <font>
      <b/>
      <sz val="12"/>
      <color theme="1"/>
      <name val="Gill Sans MT"/>
      <family val="2"/>
    </font>
    <font>
      <b/>
      <sz val="8"/>
      <color theme="1"/>
      <name val="Gill Sans MT"/>
      <family val="2"/>
    </font>
    <font>
      <sz val="10"/>
      <color theme="1"/>
      <name val="Gill Sans MT"/>
      <family val="2"/>
    </font>
    <font>
      <b/>
      <sz val="14"/>
      <color theme="1"/>
      <name val="Gill Sans MT"/>
      <family val="2"/>
    </font>
    <font>
      <b/>
      <sz val="10"/>
      <color theme="1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02">
    <xf numFmtId="0" fontId="0" fillId="0" borderId="0" xfId="0" applyAlignment="1"/>
    <xf numFmtId="0" fontId="1" fillId="0" borderId="0" xfId="0" applyFont="1" applyFill="1" applyBorder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20" fontId="3" fillId="0" borderId="2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/>
    <xf numFmtId="0" fontId="10" fillId="0" borderId="0" xfId="0" applyFont="1" applyAlignment="1">
      <alignment horizontal="center"/>
    </xf>
    <xf numFmtId="0" fontId="10" fillId="0" borderId="0" xfId="0" applyFont="1" applyAlignment="1"/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horizontal="center" vertical="center" wrapText="1"/>
    </xf>
    <xf numFmtId="164" fontId="3" fillId="0" borderId="9" xfId="0" applyNumberFormat="1" applyFont="1" applyFill="1" applyBorder="1" applyAlignment="1">
      <alignment horizontal="center" vertical="center" wrapText="1"/>
    </xf>
    <xf numFmtId="164" fontId="6" fillId="0" borderId="9" xfId="0" applyNumberFormat="1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18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vertical="center" wrapText="1"/>
    </xf>
    <xf numFmtId="0" fontId="3" fillId="0" borderId="18" xfId="0" applyFont="1" applyFill="1" applyBorder="1" applyAlignment="1">
      <alignment horizontal="center" vertical="center" wrapText="1"/>
    </xf>
    <xf numFmtId="164" fontId="6" fillId="0" borderId="9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/>
    <xf numFmtId="0" fontId="9" fillId="0" borderId="0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Continuous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2" fillId="0" borderId="6" xfId="0" applyFont="1" applyFill="1" applyBorder="1" applyAlignment="1">
      <alignment vertical="center" wrapText="1"/>
    </xf>
    <xf numFmtId="0" fontId="1" fillId="0" borderId="7" xfId="0" applyFont="1" applyFill="1" applyBorder="1" applyAlignment="1"/>
    <xf numFmtId="0" fontId="1" fillId="0" borderId="11" xfId="0" applyFont="1" applyFill="1" applyBorder="1" applyAlignment="1">
      <alignment horizontal="center" vertical="center" wrapText="1"/>
    </xf>
    <xf numFmtId="164" fontId="3" fillId="0" borderId="12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64" fontId="3" fillId="0" borderId="12" xfId="0" applyNumberFormat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164" fontId="3" fillId="0" borderId="12" xfId="0" applyNumberFormat="1" applyFont="1" applyFill="1" applyBorder="1" applyAlignment="1">
      <alignment horizontal="center" vertical="center" wrapText="1"/>
    </xf>
    <xf numFmtId="164" fontId="3" fillId="0" borderId="14" xfId="0" applyNumberFormat="1" applyFont="1" applyFill="1" applyBorder="1" applyAlignment="1">
      <alignment horizontal="center" vertical="center" wrapText="1"/>
    </xf>
    <xf numFmtId="164" fontId="3" fillId="0" borderId="16" xfId="0" applyNumberFormat="1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20" fontId="3" fillId="0" borderId="25" xfId="0" applyNumberFormat="1" applyFont="1" applyFill="1" applyBorder="1" applyAlignment="1">
      <alignment horizontal="center" vertical="center" wrapText="1"/>
    </xf>
    <xf numFmtId="20" fontId="3" fillId="0" borderId="26" xfId="0" applyNumberFormat="1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20" fontId="3" fillId="0" borderId="4" xfId="0" applyNumberFormat="1" applyFont="1" applyFill="1" applyBorder="1" applyAlignment="1">
      <alignment horizontal="center" vertical="center" wrapText="1"/>
    </xf>
    <xf numFmtId="20" fontId="3" fillId="0" borderId="23" xfId="0" applyNumberFormat="1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14" fontId="3" fillId="0" borderId="15" xfId="0" applyNumberFormat="1" applyFont="1" applyBorder="1" applyAlignment="1">
      <alignment horizontal="center" vertical="center" wrapText="1"/>
    </xf>
    <xf numFmtId="14" fontId="3" fillId="0" borderId="16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7" fillId="0" borderId="11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14" fontId="3" fillId="0" borderId="4" xfId="0" applyNumberFormat="1" applyFont="1" applyFill="1" applyBorder="1" applyAlignment="1">
      <alignment horizontal="center" vertical="center" wrapText="1"/>
    </xf>
    <xf numFmtId="14" fontId="3" fillId="0" borderId="25" xfId="0" applyNumberFormat="1" applyFont="1" applyFill="1" applyBorder="1" applyAlignment="1">
      <alignment horizontal="center" vertical="center" wrapText="1"/>
    </xf>
    <xf numFmtId="14" fontId="1" fillId="0" borderId="15" xfId="0" applyNumberFormat="1" applyFont="1" applyFill="1" applyBorder="1" applyAlignment="1">
      <alignment horizontal="center" vertical="center" wrapText="1"/>
    </xf>
  </cellXfs>
  <cellStyles count="3">
    <cellStyle name="Följd hyperlänk" xfId="2" builtinId="9" hidden="1"/>
    <cellStyle name="Hyperlänk" xfId="1" builtinId="8" hidden="1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38</xdr:row>
      <xdr:rowOff>95250</xdr:rowOff>
    </xdr:from>
    <xdr:to>
      <xdr:col>0</xdr:col>
      <xdr:colOff>1031875</xdr:colOff>
      <xdr:row>38</xdr:row>
      <xdr:rowOff>1387475</xdr:rowOff>
    </xdr:to>
    <xdr:pic>
      <xdr:nvPicPr>
        <xdr:cNvPr id="2" name="Bildobjekt 1" descr="xl/media/image1.png">
          <a:extLst>
            <a:ext uri="{FF2B5EF4-FFF2-40B4-BE49-F238E27FC236}">
              <a16:creationId xmlns:a16="http://schemas.microsoft.com/office/drawing/2014/main" id="{FB4007DF-A59A-D873-EBF0-E113E9C08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46380" y="7762875"/>
          <a:ext cx="755650" cy="1285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40706</xdr:colOff>
      <xdr:row>0</xdr:row>
      <xdr:rowOff>118533</xdr:rowOff>
    </xdr:from>
    <xdr:to>
      <xdr:col>0</xdr:col>
      <xdr:colOff>1275636</xdr:colOff>
      <xdr:row>0</xdr:row>
      <xdr:rowOff>320267</xdr:rowOff>
    </xdr:to>
    <xdr:pic>
      <xdr:nvPicPr>
        <xdr:cNvPr id="5" name="Bildobjekt 4" descr="Lantmäteriets logga">
          <a:extLst>
            <a:ext uri="{FF2B5EF4-FFF2-40B4-BE49-F238E27FC236}">
              <a16:creationId xmlns:a16="http://schemas.microsoft.com/office/drawing/2014/main" id="{B9C1B2AB-94A9-8253-D14E-76D64EC83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6" y="118533"/>
          <a:ext cx="1234930" cy="198559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38</xdr:row>
      <xdr:rowOff>95250</xdr:rowOff>
    </xdr:from>
    <xdr:to>
      <xdr:col>0</xdr:col>
      <xdr:colOff>1031875</xdr:colOff>
      <xdr:row>38</xdr:row>
      <xdr:rowOff>1387475</xdr:rowOff>
    </xdr:to>
    <xdr:pic>
      <xdr:nvPicPr>
        <xdr:cNvPr id="3" name="Bildobjekt 2" descr="xl/media/image1.png">
          <a:extLst>
            <a:ext uri="{FF2B5EF4-FFF2-40B4-BE49-F238E27FC236}">
              <a16:creationId xmlns:a16="http://schemas.microsoft.com/office/drawing/2014/main" id="{AFC6D47F-7D1C-47A7-B892-64A5C4D8C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76225" y="8343900"/>
          <a:ext cx="755650" cy="1292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21" zoomScalePageLayoutView="78" workbookViewId="0">
      <selection activeCell="E6" sqref="E6:F6"/>
    </sheetView>
  </sheetViews>
  <sheetFormatPr defaultColWidth="9.140625" defaultRowHeight="13.5" x14ac:dyDescent="0.3"/>
  <cols>
    <col min="1" max="1" width="19.28515625" style="2" customWidth="1"/>
    <col min="2" max="2" width="10.42578125" style="2" customWidth="1"/>
    <col min="3" max="3" width="10.85546875" style="2" customWidth="1"/>
    <col min="4" max="4" width="24.42578125" style="2" customWidth="1"/>
    <col min="5" max="5" width="13.7109375" style="2" customWidth="1"/>
    <col min="6" max="6" width="8.7109375" style="2" customWidth="1"/>
    <col min="7" max="7" width="9.140625" style="1"/>
    <col min="8" max="16384" width="9.140625" style="2"/>
  </cols>
  <sheetData>
    <row r="1" spans="1:7" ht="34.5" customHeight="1" x14ac:dyDescent="0.3">
      <c r="B1" s="93" t="s">
        <v>29</v>
      </c>
      <c r="C1" s="93"/>
      <c r="D1" s="93"/>
      <c r="E1" s="93"/>
      <c r="F1" s="93"/>
    </row>
    <row r="2" spans="1:7" ht="12" customHeight="1" x14ac:dyDescent="0.3">
      <c r="A2" s="12" t="s">
        <v>14</v>
      </c>
      <c r="B2" s="46" t="s">
        <v>0</v>
      </c>
      <c r="C2" s="47"/>
      <c r="D2" s="12" t="s">
        <v>1</v>
      </c>
      <c r="E2" s="12" t="s">
        <v>2</v>
      </c>
      <c r="F2" s="12" t="s">
        <v>3</v>
      </c>
    </row>
    <row r="3" spans="1:7" ht="19.7" customHeight="1" x14ac:dyDescent="0.35">
      <c r="A3" s="37">
        <v>6</v>
      </c>
      <c r="B3" s="53" t="s">
        <v>55</v>
      </c>
      <c r="C3" s="54"/>
      <c r="D3" s="19" t="s">
        <v>56</v>
      </c>
      <c r="E3" s="42">
        <v>136658</v>
      </c>
      <c r="F3" s="42">
        <v>6504</v>
      </c>
      <c r="G3" s="23"/>
    </row>
    <row r="4" spans="1:7" ht="19.5" x14ac:dyDescent="0.4">
      <c r="A4" s="97" t="s">
        <v>15</v>
      </c>
      <c r="B4" s="98"/>
      <c r="C4" s="98"/>
      <c r="D4" s="81" t="s">
        <v>51</v>
      </c>
      <c r="E4" s="81"/>
      <c r="F4" s="82"/>
      <c r="G4" s="24"/>
    </row>
    <row r="5" spans="1:7" ht="15" customHeight="1" x14ac:dyDescent="0.3">
      <c r="A5" s="17" t="s">
        <v>4</v>
      </c>
      <c r="B5" s="94" t="s">
        <v>5</v>
      </c>
      <c r="C5" s="95"/>
      <c r="D5" s="18" t="s">
        <v>6</v>
      </c>
      <c r="E5" s="83" t="s">
        <v>7</v>
      </c>
      <c r="F5" s="84"/>
    </row>
    <row r="6" spans="1:7" s="3" customFormat="1" ht="19.7" customHeight="1" x14ac:dyDescent="0.35">
      <c r="A6" s="43" t="s">
        <v>48</v>
      </c>
      <c r="B6" s="99">
        <v>45959</v>
      </c>
      <c r="C6" s="76"/>
      <c r="D6" s="44">
        <v>302</v>
      </c>
      <c r="E6" s="85">
        <v>45960</v>
      </c>
      <c r="F6" s="86"/>
      <c r="G6" s="25"/>
    </row>
    <row r="7" spans="1:7" ht="15" customHeight="1" x14ac:dyDescent="0.3">
      <c r="A7" s="5" t="s">
        <v>8</v>
      </c>
      <c r="B7" s="77" t="s">
        <v>9</v>
      </c>
      <c r="C7" s="78"/>
      <c r="D7" s="20" t="s">
        <v>10</v>
      </c>
      <c r="E7" s="51" t="s">
        <v>38</v>
      </c>
      <c r="F7" s="52"/>
    </row>
    <row r="8" spans="1:7" s="3" customFormat="1" ht="19.7" customHeight="1" x14ac:dyDescent="0.35">
      <c r="A8" s="45">
        <v>0.63958333333333328</v>
      </c>
      <c r="B8" s="79">
        <v>0.6430555555555556</v>
      </c>
      <c r="C8" s="80"/>
      <c r="D8" s="10" t="s">
        <v>21</v>
      </c>
      <c r="E8" s="53">
        <v>3062216</v>
      </c>
      <c r="F8" s="54"/>
      <c r="G8" s="25"/>
    </row>
    <row r="9" spans="1:7" ht="15" customHeight="1" x14ac:dyDescent="0.3">
      <c r="A9" s="5" t="s">
        <v>11</v>
      </c>
      <c r="B9" s="77" t="s">
        <v>39</v>
      </c>
      <c r="C9" s="78"/>
      <c r="D9" s="20" t="s">
        <v>16</v>
      </c>
      <c r="E9" s="51" t="s">
        <v>17</v>
      </c>
      <c r="F9" s="52"/>
    </row>
    <row r="10" spans="1:7" s="3" customFormat="1" ht="19.7" customHeight="1" x14ac:dyDescent="0.35">
      <c r="A10" s="11" t="s">
        <v>22</v>
      </c>
      <c r="B10" s="72" t="s">
        <v>49</v>
      </c>
      <c r="C10" s="73"/>
      <c r="D10" s="21" t="s">
        <v>54</v>
      </c>
      <c r="E10" s="68" t="s">
        <v>50</v>
      </c>
      <c r="F10" s="69"/>
      <c r="G10" s="25"/>
    </row>
    <row r="11" spans="1:7" ht="13.5" customHeight="1" x14ac:dyDescent="0.3">
      <c r="A11" s="12" t="s">
        <v>12</v>
      </c>
      <c r="B11" s="46" t="s">
        <v>13</v>
      </c>
      <c r="C11" s="47"/>
      <c r="D11" s="12" t="s">
        <v>18</v>
      </c>
      <c r="E11" s="51" t="s">
        <v>19</v>
      </c>
      <c r="F11" s="52"/>
    </row>
    <row r="12" spans="1:7" s="3" customFormat="1" ht="19.5" customHeight="1" x14ac:dyDescent="0.35">
      <c r="A12" s="39" t="s">
        <v>34</v>
      </c>
      <c r="B12" s="68" t="s">
        <v>50</v>
      </c>
      <c r="C12" s="69"/>
      <c r="D12" s="16" t="s">
        <v>53</v>
      </c>
      <c r="E12" s="53" t="s">
        <v>53</v>
      </c>
      <c r="F12" s="54"/>
      <c r="G12" s="25"/>
    </row>
    <row r="13" spans="1:7" s="8" customFormat="1" ht="19.5" customHeight="1" x14ac:dyDescent="0.35">
      <c r="A13" s="55" t="s">
        <v>26</v>
      </c>
      <c r="B13" s="56"/>
      <c r="C13" s="56"/>
      <c r="D13" s="56"/>
      <c r="E13" s="56"/>
      <c r="F13" s="57"/>
      <c r="G13" s="26"/>
    </row>
    <row r="14" spans="1:7" s="3" customFormat="1" ht="17.25" customHeight="1" x14ac:dyDescent="0.35">
      <c r="A14" s="34" t="s">
        <v>31</v>
      </c>
      <c r="B14" s="41" t="s">
        <v>40</v>
      </c>
      <c r="C14" s="41" t="s">
        <v>41</v>
      </c>
      <c r="D14" s="22">
        <v>1.155</v>
      </c>
      <c r="E14" s="13" t="s">
        <v>23</v>
      </c>
      <c r="F14" s="14">
        <f>D14+0.36</f>
        <v>1.5150000000000001</v>
      </c>
      <c r="G14" s="25"/>
    </row>
    <row r="15" spans="1:7" s="3" customFormat="1" ht="17.25" customHeight="1" x14ac:dyDescent="0.35">
      <c r="A15" s="33" t="s">
        <v>32</v>
      </c>
      <c r="B15" s="41" t="s">
        <v>40</v>
      </c>
      <c r="C15" s="41" t="s">
        <v>42</v>
      </c>
      <c r="D15" s="22">
        <v>0</v>
      </c>
      <c r="E15" s="31" t="s">
        <v>33</v>
      </c>
      <c r="F15" s="32">
        <f>D15+(-0.0502)</f>
        <v>-5.0200000000000002E-2</v>
      </c>
      <c r="G15" s="25"/>
    </row>
    <row r="16" spans="1:7" s="3" customFormat="1" ht="17.25" customHeight="1" x14ac:dyDescent="0.35">
      <c r="A16" s="33"/>
      <c r="B16" s="38"/>
      <c r="C16" s="41"/>
      <c r="D16" s="22"/>
      <c r="E16" s="36" t="s">
        <v>25</v>
      </c>
      <c r="F16" s="35">
        <f>F14-F15</f>
        <v>1.5652000000000001</v>
      </c>
      <c r="G16" s="25"/>
    </row>
    <row r="17" spans="1:7" s="3" customFormat="1" ht="17.25" customHeight="1" x14ac:dyDescent="0.35">
      <c r="A17" s="58" t="s">
        <v>24</v>
      </c>
      <c r="B17" s="41" t="s">
        <v>40</v>
      </c>
      <c r="C17" s="41" t="s">
        <v>43</v>
      </c>
      <c r="D17" s="15">
        <v>1.5620000000000001</v>
      </c>
      <c r="E17" s="46" t="s">
        <v>28</v>
      </c>
      <c r="F17" s="63">
        <f>SQRT(D20^2-0.19^2)-0.0345</f>
        <v>1.5148937524076957</v>
      </c>
      <c r="G17" s="25"/>
    </row>
    <row r="18" spans="1:7" s="3" customFormat="1" ht="17.25" customHeight="1" x14ac:dyDescent="0.35">
      <c r="A18" s="59"/>
      <c r="B18" s="41" t="s">
        <v>40</v>
      </c>
      <c r="C18" s="41" t="s">
        <v>44</v>
      </c>
      <c r="D18" s="15">
        <v>1.5609999999999999</v>
      </c>
      <c r="E18" s="61"/>
      <c r="F18" s="64"/>
      <c r="G18" s="25"/>
    </row>
    <row r="19" spans="1:7" s="3" customFormat="1" ht="17.25" customHeight="1" x14ac:dyDescent="0.35">
      <c r="A19" s="59"/>
      <c r="B19" s="41" t="s">
        <v>40</v>
      </c>
      <c r="C19" s="41" t="s">
        <v>45</v>
      </c>
      <c r="D19" s="15">
        <v>1.56</v>
      </c>
      <c r="E19" s="62"/>
      <c r="F19" s="65"/>
      <c r="G19" s="25"/>
    </row>
    <row r="20" spans="1:7" s="3" customFormat="1" ht="17.25" customHeight="1" x14ac:dyDescent="0.35">
      <c r="A20" s="60"/>
      <c r="B20" s="41" t="s">
        <v>40</v>
      </c>
      <c r="C20" s="41" t="s">
        <v>46</v>
      </c>
      <c r="D20" s="22">
        <f>(D17+D18+D19)/3</f>
        <v>1.5609999999999999</v>
      </c>
      <c r="E20" s="13" t="s">
        <v>25</v>
      </c>
      <c r="F20" s="14">
        <f>F14-F17</f>
        <v>1.0624759230437597E-4</v>
      </c>
      <c r="G20" s="25"/>
    </row>
    <row r="21" spans="1:7" ht="19.5" customHeight="1" x14ac:dyDescent="0.35">
      <c r="A21" s="97" t="s">
        <v>20</v>
      </c>
      <c r="B21" s="98"/>
      <c r="C21" s="98"/>
      <c r="D21" s="81" t="s">
        <v>52</v>
      </c>
      <c r="E21" s="81"/>
      <c r="F21" s="82"/>
      <c r="G21" s="26"/>
    </row>
    <row r="22" spans="1:7" ht="15" customHeight="1" x14ac:dyDescent="0.3">
      <c r="A22" s="29" t="s">
        <v>4</v>
      </c>
      <c r="B22" s="70" t="s">
        <v>5</v>
      </c>
      <c r="C22" s="71"/>
      <c r="D22" s="29" t="s">
        <v>6</v>
      </c>
      <c r="E22" s="70" t="s">
        <v>7</v>
      </c>
      <c r="F22" s="71"/>
    </row>
    <row r="23" spans="1:7" ht="19.5" customHeight="1" x14ac:dyDescent="0.3">
      <c r="A23" s="4" t="s">
        <v>48</v>
      </c>
      <c r="B23" s="100">
        <v>45960</v>
      </c>
      <c r="C23" s="73"/>
      <c r="D23" s="10">
        <v>303</v>
      </c>
      <c r="E23" s="101">
        <v>45961</v>
      </c>
      <c r="F23" s="96"/>
    </row>
    <row r="24" spans="1:7" ht="15" customHeight="1" x14ac:dyDescent="0.3">
      <c r="A24" s="12" t="s">
        <v>8</v>
      </c>
      <c r="B24" s="46" t="s">
        <v>9</v>
      </c>
      <c r="C24" s="47"/>
      <c r="D24" s="12" t="s">
        <v>10</v>
      </c>
      <c r="E24" s="46" t="s">
        <v>38</v>
      </c>
      <c r="F24" s="47"/>
    </row>
    <row r="25" spans="1:7" ht="19.5" customHeight="1" x14ac:dyDescent="0.3">
      <c r="A25" s="6">
        <v>0.65694444444444444</v>
      </c>
      <c r="B25" s="74">
        <v>0.66527777777777775</v>
      </c>
      <c r="C25" s="75"/>
      <c r="D25" s="10" t="s">
        <v>21</v>
      </c>
      <c r="E25" s="53">
        <v>3062216</v>
      </c>
      <c r="F25" s="54"/>
    </row>
    <row r="26" spans="1:7" ht="15" customHeight="1" x14ac:dyDescent="0.3">
      <c r="A26" s="12" t="s">
        <v>11</v>
      </c>
      <c r="B26" s="46" t="s">
        <v>39</v>
      </c>
      <c r="C26" s="47"/>
      <c r="D26" s="12" t="s">
        <v>16</v>
      </c>
      <c r="E26" s="46" t="s">
        <v>17</v>
      </c>
      <c r="F26" s="47"/>
    </row>
    <row r="27" spans="1:7" ht="19.5" customHeight="1" x14ac:dyDescent="0.3">
      <c r="A27" s="11" t="s">
        <v>22</v>
      </c>
      <c r="B27" s="72" t="s">
        <v>49</v>
      </c>
      <c r="C27" s="73"/>
      <c r="D27" s="21" t="s">
        <v>54</v>
      </c>
      <c r="E27" s="53" t="s">
        <v>50</v>
      </c>
      <c r="F27" s="54"/>
    </row>
    <row r="28" spans="1:7" ht="13.5" customHeight="1" x14ac:dyDescent="0.3">
      <c r="A28" s="12" t="s">
        <v>12</v>
      </c>
      <c r="B28" s="46" t="s">
        <v>47</v>
      </c>
      <c r="C28" s="47"/>
      <c r="D28" s="12" t="s">
        <v>18</v>
      </c>
      <c r="E28" s="46" t="s">
        <v>19</v>
      </c>
      <c r="F28" s="47"/>
    </row>
    <row r="29" spans="1:7" ht="19.5" customHeight="1" x14ac:dyDescent="0.3">
      <c r="A29" s="39" t="s">
        <v>34</v>
      </c>
      <c r="B29" s="53" t="s">
        <v>50</v>
      </c>
      <c r="C29" s="54"/>
      <c r="D29" s="30" t="s">
        <v>53</v>
      </c>
      <c r="E29" s="66" t="s">
        <v>53</v>
      </c>
      <c r="F29" s="67"/>
    </row>
    <row r="30" spans="1:7" s="9" customFormat="1" ht="19.5" customHeight="1" x14ac:dyDescent="0.35">
      <c r="A30" s="55" t="s">
        <v>27</v>
      </c>
      <c r="B30" s="56"/>
      <c r="C30" s="56"/>
      <c r="D30" s="56"/>
      <c r="E30" s="56"/>
      <c r="F30" s="57"/>
      <c r="G30" s="26"/>
    </row>
    <row r="31" spans="1:7" ht="17.25" x14ac:dyDescent="0.35">
      <c r="A31" s="34" t="s">
        <v>31</v>
      </c>
      <c r="B31" s="41" t="s">
        <v>40</v>
      </c>
      <c r="C31" s="41" t="s">
        <v>41</v>
      </c>
      <c r="D31" s="22">
        <v>1.1904999999999999</v>
      </c>
      <c r="E31" s="13" t="s">
        <v>23</v>
      </c>
      <c r="F31" s="14">
        <f>D31+0.36</f>
        <v>1.5505</v>
      </c>
      <c r="G31" s="25"/>
    </row>
    <row r="32" spans="1:7" ht="17.25" x14ac:dyDescent="0.35">
      <c r="A32" s="33" t="s">
        <v>32</v>
      </c>
      <c r="B32" s="41" t="s">
        <v>40</v>
      </c>
      <c r="C32" s="41" t="s">
        <v>42</v>
      </c>
      <c r="D32" s="22">
        <v>0</v>
      </c>
      <c r="E32" s="31" t="s">
        <v>33</v>
      </c>
      <c r="F32" s="32">
        <f>D32+(-0.0502)</f>
        <v>-5.0200000000000002E-2</v>
      </c>
      <c r="G32" s="25"/>
    </row>
    <row r="33" spans="1:7" ht="17.25" x14ac:dyDescent="0.35">
      <c r="A33" s="33"/>
      <c r="B33" s="38"/>
      <c r="C33" s="41"/>
      <c r="D33" s="22"/>
      <c r="E33" s="36" t="s">
        <v>25</v>
      </c>
      <c r="F33" s="35">
        <f>F31-F32</f>
        <v>1.6007</v>
      </c>
      <c r="G33" s="25"/>
    </row>
    <row r="34" spans="1:7" ht="17.25" x14ac:dyDescent="0.35">
      <c r="A34" s="58" t="s">
        <v>24</v>
      </c>
      <c r="B34" s="41" t="s">
        <v>40</v>
      </c>
      <c r="C34" s="41" t="s">
        <v>43</v>
      </c>
      <c r="D34" s="15">
        <v>1.5960000000000001</v>
      </c>
      <c r="E34" s="90" t="s">
        <v>28</v>
      </c>
      <c r="F34" s="63">
        <f>SQRT(D37^2-0.19^2)-0.0345</f>
        <v>1.5504858394039711</v>
      </c>
      <c r="G34" s="25"/>
    </row>
    <row r="35" spans="1:7" ht="17.25" x14ac:dyDescent="0.35">
      <c r="A35" s="59"/>
      <c r="B35" s="41" t="s">
        <v>40</v>
      </c>
      <c r="C35" s="41" t="s">
        <v>44</v>
      </c>
      <c r="D35" s="15">
        <v>1.597</v>
      </c>
      <c r="E35" s="61"/>
      <c r="F35" s="64"/>
      <c r="G35" s="25"/>
    </row>
    <row r="36" spans="1:7" ht="17.25" x14ac:dyDescent="0.35">
      <c r="A36" s="59"/>
      <c r="B36" s="41" t="s">
        <v>40</v>
      </c>
      <c r="C36" s="41" t="s">
        <v>45</v>
      </c>
      <c r="D36" s="15">
        <v>1.5960000000000001</v>
      </c>
      <c r="E36" s="62"/>
      <c r="F36" s="65"/>
      <c r="G36" s="25"/>
    </row>
    <row r="37" spans="1:7" ht="17.25" x14ac:dyDescent="0.35">
      <c r="A37" s="60"/>
      <c r="B37" s="41" t="s">
        <v>40</v>
      </c>
      <c r="C37" s="41" t="s">
        <v>46</v>
      </c>
      <c r="D37" s="22">
        <f>(D34+D35+D36)/3</f>
        <v>1.5963333333333332</v>
      </c>
      <c r="E37" s="13" t="s">
        <v>25</v>
      </c>
      <c r="F37" s="14">
        <f>F31-F34</f>
        <v>1.4160596028878203E-5</v>
      </c>
      <c r="G37" s="25"/>
    </row>
    <row r="38" spans="1:7" x14ac:dyDescent="0.3">
      <c r="A38" s="7"/>
      <c r="B38" s="7"/>
      <c r="C38" s="7"/>
      <c r="D38" s="27"/>
      <c r="E38" s="7"/>
      <c r="F38" s="7"/>
    </row>
    <row r="39" spans="1:7" ht="175.5" customHeight="1" x14ac:dyDescent="0.3">
      <c r="A39" s="40" t="s">
        <v>37</v>
      </c>
      <c r="B39" s="91" t="s">
        <v>36</v>
      </c>
      <c r="C39" s="92"/>
      <c r="D39" s="48" t="s">
        <v>35</v>
      </c>
      <c r="E39" s="49"/>
      <c r="F39" s="50"/>
      <c r="G39" s="28"/>
    </row>
    <row r="40" spans="1:7" ht="6.75" customHeight="1" x14ac:dyDescent="0.3"/>
    <row r="41" spans="1:7" ht="15.75" customHeight="1" x14ac:dyDescent="0.3">
      <c r="A41" s="87" t="s">
        <v>30</v>
      </c>
      <c r="B41" s="88"/>
      <c r="C41" s="88"/>
      <c r="D41" s="88"/>
      <c r="E41" s="88"/>
      <c r="F41" s="89"/>
    </row>
  </sheetData>
  <mergeCells count="50">
    <mergeCell ref="B29:C29"/>
    <mergeCell ref="B39:C39"/>
    <mergeCell ref="B1:F1"/>
    <mergeCell ref="B2:C2"/>
    <mergeCell ref="B3:C3"/>
    <mergeCell ref="B5:C5"/>
    <mergeCell ref="E22:F22"/>
    <mergeCell ref="E23:F23"/>
    <mergeCell ref="E24:F24"/>
    <mergeCell ref="E25:F25"/>
    <mergeCell ref="E26:F26"/>
    <mergeCell ref="E27:F27"/>
    <mergeCell ref="E28:F28"/>
    <mergeCell ref="E10:F10"/>
    <mergeCell ref="A4:C4"/>
    <mergeCell ref="A21:C21"/>
    <mergeCell ref="A41:F41"/>
    <mergeCell ref="A34:A37"/>
    <mergeCell ref="E34:E36"/>
    <mergeCell ref="F34:F36"/>
    <mergeCell ref="A30:F30"/>
    <mergeCell ref="D21:F21"/>
    <mergeCell ref="D4:F4"/>
    <mergeCell ref="E5:F5"/>
    <mergeCell ref="E6:F6"/>
    <mergeCell ref="E7:F7"/>
    <mergeCell ref="E8:F8"/>
    <mergeCell ref="E9:F9"/>
    <mergeCell ref="B27:C27"/>
    <mergeCell ref="B6:C6"/>
    <mergeCell ref="B7:C7"/>
    <mergeCell ref="B8:C8"/>
    <mergeCell ref="B9:C9"/>
    <mergeCell ref="B10:C10"/>
    <mergeCell ref="B28:C28"/>
    <mergeCell ref="B11:C11"/>
    <mergeCell ref="D39:F39"/>
    <mergeCell ref="E11:F11"/>
    <mergeCell ref="E12:F12"/>
    <mergeCell ref="A13:F13"/>
    <mergeCell ref="A17:A20"/>
    <mergeCell ref="E17:E19"/>
    <mergeCell ref="F17:F19"/>
    <mergeCell ref="E29:F29"/>
    <mergeCell ref="B12:C12"/>
    <mergeCell ref="B22:C22"/>
    <mergeCell ref="B23:C23"/>
    <mergeCell ref="B24:C24"/>
    <mergeCell ref="B25:C25"/>
    <mergeCell ref="B26:C26"/>
  </mergeCells>
  <phoneticPr fontId="1" type="noConversion"/>
  <conditionalFormatting sqref="F16">
    <cfRule type="cellIs" dxfId="7" priority="3" operator="greaterThan">
      <formula>0.001</formula>
    </cfRule>
    <cfRule type="cellIs" dxfId="6" priority="4" operator="lessThan">
      <formula>-0.001</formula>
    </cfRule>
  </conditionalFormatting>
  <conditionalFormatting sqref="F20">
    <cfRule type="cellIs" dxfId="5" priority="8" operator="lessThan">
      <formula>-0.001</formula>
    </cfRule>
    <cfRule type="cellIs" dxfId="4" priority="9" operator="greaterThan">
      <formula>0.001</formula>
    </cfRule>
  </conditionalFormatting>
  <conditionalFormatting sqref="F33">
    <cfRule type="cellIs" dxfId="3" priority="1" operator="lessThan">
      <formula>-0.001</formula>
    </cfRule>
    <cfRule type="cellIs" dxfId="2" priority="2" operator="greaterThan">
      <formula>0.001</formula>
    </cfRule>
  </conditionalFormatting>
  <conditionalFormatting sqref="F37">
    <cfRule type="cellIs" dxfId="1" priority="6" operator="lessThan">
      <formula>-0.001</formula>
    </cfRule>
    <cfRule type="cellIs" dxfId="0" priority="7" operator="greaterThan">
      <formula>0.001</formula>
    </cfRule>
  </conditionalFormatting>
  <pageMargins left="0.78740157480314965" right="0.47244094488188981" top="0.35433070866141736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Mårtensson Emil</dc:creator>
  <cp:lastModifiedBy>Pedersen Jørgen</cp:lastModifiedBy>
  <cp:revision>3</cp:revision>
  <cp:lastPrinted>2025-04-09T10:30:21Z</cp:lastPrinted>
  <dcterms:created xsi:type="dcterms:W3CDTF">2025-05-05T07:25:17Z</dcterms:created>
  <dcterms:modified xsi:type="dcterms:W3CDTF">2025-11-20T12:01:49Z</dcterms:modified>
</cp:coreProperties>
</file>